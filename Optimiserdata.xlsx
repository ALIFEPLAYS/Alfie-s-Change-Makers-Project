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 WORK\CM_project\"/>
    </mc:Choice>
  </mc:AlternateContent>
  <xr:revisionPtr revIDLastSave="0" documentId="13_ncr:1_{572A3419-1176-48B0-AFDB-E5BBBE898510}" xr6:coauthVersionLast="47" xr6:coauthVersionMax="47" xr10:uidLastSave="{00000000-0000-0000-0000-000000000000}"/>
  <bookViews>
    <workbookView xWindow="-108" yWindow="-108" windowWidth="23256" windowHeight="12456" activeTab="1" xr2:uid="{A17C0256-FB37-4991-92DC-08E998ED05E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5" i="2" l="1"/>
  <c r="AQ4" i="2"/>
  <c r="AQ5" i="2"/>
  <c r="AQ3" i="2"/>
  <c r="AR4" i="2"/>
  <c r="O8" i="1"/>
  <c r="P8" i="1"/>
  <c r="O9" i="1"/>
  <c r="P9" i="1"/>
  <c r="AM5" i="2"/>
  <c r="AN4" i="2"/>
  <c r="AM4" i="2"/>
  <c r="AJ5" i="2"/>
  <c r="AK4" i="2"/>
  <c r="AJ3" i="2"/>
  <c r="AK2" i="2"/>
  <c r="AJ2" i="2"/>
  <c r="AJ4" i="2"/>
  <c r="AG5" i="2"/>
  <c r="AH4" i="2"/>
  <c r="AG4" i="2"/>
  <c r="AH3" i="2"/>
  <c r="AE5" i="2"/>
  <c r="AD5" i="2"/>
  <c r="AE4" i="2"/>
  <c r="AD4" i="2"/>
  <c r="AE2" i="2"/>
  <c r="AD2" i="2"/>
  <c r="AA5" i="2"/>
  <c r="AB4" i="2"/>
  <c r="AA2" i="2"/>
  <c r="AB5" i="2"/>
  <c r="AA4" i="2"/>
  <c r="X5" i="2"/>
  <c r="Y4" i="2"/>
  <c r="X4" i="2"/>
  <c r="U5" i="2"/>
  <c r="U4" i="2"/>
  <c r="T4" i="2"/>
  <c r="T2" i="2"/>
  <c r="R4" i="2"/>
  <c r="Q4" i="2"/>
  <c r="O4" i="2"/>
  <c r="N4" i="2"/>
  <c r="H31" i="1"/>
  <c r="G31" i="1"/>
  <c r="K5" i="2" s="1"/>
  <c r="H30" i="1"/>
  <c r="L4" i="2" s="1"/>
  <c r="G30" i="1"/>
  <c r="K4" i="2" s="1"/>
  <c r="H29" i="1"/>
  <c r="L3" i="2" s="1"/>
  <c r="G29" i="1"/>
  <c r="H28" i="1"/>
  <c r="L2" i="2" s="1"/>
  <c r="H5" i="2"/>
  <c r="I4" i="2"/>
  <c r="H4" i="2"/>
  <c r="I2" i="2"/>
  <c r="H2" i="2"/>
  <c r="F5" i="2"/>
  <c r="E5" i="2"/>
  <c r="F4" i="2"/>
  <c r="E4" i="2"/>
  <c r="F3" i="2"/>
  <c r="C4" i="2"/>
  <c r="AT2" i="2"/>
  <c r="P17" i="1"/>
  <c r="O17" i="1"/>
  <c r="P16" i="1"/>
  <c r="O16" i="1"/>
  <c r="AU5" i="2"/>
  <c r="AT5" i="2"/>
  <c r="AU4" i="2"/>
  <c r="AQ2" i="2"/>
  <c r="AR2" i="2"/>
  <c r="AN5" i="2"/>
  <c r="AB2" i="2"/>
  <c r="R5" i="2"/>
  <c r="L5" i="2"/>
  <c r="C3" i="2"/>
  <c r="C2" i="2"/>
  <c r="B3" i="2"/>
  <c r="H3" i="2"/>
  <c r="I3" i="2"/>
  <c r="E2" i="2"/>
  <c r="C5" i="2"/>
  <c r="B4" i="2"/>
  <c r="B2" i="2"/>
  <c r="AU3" i="2"/>
  <c r="AT3" i="2"/>
  <c r="AT4" i="2"/>
  <c r="AU2" i="2"/>
  <c r="AS3" i="2"/>
  <c r="AS4" i="2"/>
  <c r="AS5" i="2"/>
  <c r="AS2" i="2"/>
  <c r="AR3" i="2"/>
  <c r="AP3" i="2"/>
  <c r="AP4" i="2"/>
  <c r="AP5" i="2"/>
  <c r="AP2" i="2"/>
  <c r="AN3" i="2"/>
  <c r="AM3" i="2"/>
  <c r="AM2" i="2"/>
  <c r="AN2" i="2"/>
  <c r="AL3" i="2"/>
  <c r="AL4" i="2"/>
  <c r="AL5" i="2"/>
  <c r="AL2" i="2"/>
  <c r="AK3" i="2"/>
  <c r="AK5" i="2"/>
  <c r="AI3" i="2"/>
  <c r="AI4" i="2"/>
  <c r="AI5" i="2"/>
  <c r="AI2" i="2"/>
  <c r="AH5" i="2"/>
  <c r="AG3" i="2"/>
  <c r="AG2" i="2"/>
  <c r="AH2" i="2"/>
  <c r="AF3" i="2"/>
  <c r="AF4" i="2"/>
  <c r="AF5" i="2"/>
  <c r="AF2" i="2"/>
  <c r="AE3" i="2"/>
  <c r="AD3" i="2"/>
  <c r="AC3" i="2"/>
  <c r="AC4" i="2"/>
  <c r="AC5" i="2"/>
  <c r="AC2" i="2"/>
  <c r="AB3" i="2"/>
  <c r="AA3" i="2"/>
  <c r="Z3" i="2"/>
  <c r="Z4" i="2"/>
  <c r="Z5" i="2"/>
  <c r="Z2" i="2"/>
  <c r="Y3" i="2"/>
  <c r="Y5" i="2"/>
  <c r="X3" i="2"/>
  <c r="X2" i="2"/>
  <c r="Y2" i="2"/>
  <c r="W3" i="2"/>
  <c r="W4" i="2"/>
  <c r="W5" i="2"/>
  <c r="W2" i="2"/>
  <c r="U3" i="2"/>
  <c r="T3" i="2"/>
  <c r="T5" i="2"/>
  <c r="U2" i="2"/>
  <c r="S3" i="2"/>
  <c r="S4" i="2"/>
  <c r="S5" i="2"/>
  <c r="S2" i="2"/>
  <c r="R3" i="2"/>
  <c r="Q3" i="2"/>
  <c r="Q5" i="2"/>
  <c r="Q2" i="2"/>
  <c r="R2" i="2"/>
  <c r="P3" i="2"/>
  <c r="P4" i="2"/>
  <c r="P5" i="2"/>
  <c r="P2" i="2"/>
  <c r="O3" i="2"/>
  <c r="O5" i="2"/>
  <c r="N3" i="2"/>
  <c r="N5" i="2"/>
  <c r="N2" i="2"/>
  <c r="O2" i="2"/>
  <c r="M3" i="2"/>
  <c r="M4" i="2"/>
  <c r="M5" i="2"/>
  <c r="M2" i="2"/>
  <c r="K3" i="2"/>
  <c r="J3" i="2"/>
  <c r="J4" i="2"/>
  <c r="J5" i="2"/>
  <c r="J2" i="2"/>
  <c r="I5" i="2"/>
  <c r="G3" i="2"/>
  <c r="G4" i="2"/>
  <c r="G5" i="2"/>
  <c r="G2" i="2"/>
  <c r="F2" i="2"/>
  <c r="E3" i="2"/>
  <c r="D3" i="2"/>
  <c r="D4" i="2"/>
  <c r="D5" i="2"/>
  <c r="D2" i="2"/>
  <c r="B5" i="2"/>
  <c r="A3" i="2"/>
  <c r="A2" i="2"/>
  <c r="A4" i="2"/>
  <c r="A5" i="2"/>
</calcChain>
</file>

<file path=xl/sharedStrings.xml><?xml version="1.0" encoding="utf-8"?>
<sst xmlns="http://schemas.openxmlformats.org/spreadsheetml/2006/main" count="235" uniqueCount="181">
  <si>
    <t>Name of Prodcust Group</t>
  </si>
  <si>
    <t>Which color they are</t>
  </si>
  <si>
    <t>Washing machine</t>
  </si>
  <si>
    <t>Toothpaste</t>
  </si>
  <si>
    <t>dishwasher</t>
  </si>
  <si>
    <t>hand soap</t>
  </si>
  <si>
    <t>dish soap</t>
  </si>
  <si>
    <t>washing fragrance pods</t>
  </si>
  <si>
    <t>deoderant</t>
  </si>
  <si>
    <t>shampoo</t>
  </si>
  <si>
    <t>body wash</t>
  </si>
  <si>
    <t>conditioner</t>
  </si>
  <si>
    <t>dog food</t>
  </si>
  <si>
    <t>cat food</t>
  </si>
  <si>
    <t>kitchen roll</t>
  </si>
  <si>
    <t>toilet roll</t>
  </si>
  <si>
    <t>bin bags</t>
  </si>
  <si>
    <t>What section</t>
  </si>
  <si>
    <t>Toiletries and health</t>
  </si>
  <si>
    <t>HH LC</t>
  </si>
  <si>
    <t>Pets</t>
  </si>
  <si>
    <t>House Hold and cleaning</t>
  </si>
  <si>
    <t>Washing Machine</t>
  </si>
  <si>
    <t>Price</t>
  </si>
  <si>
    <t>CO2</t>
  </si>
  <si>
    <t>Dishwasher</t>
  </si>
  <si>
    <t>Dish soap</t>
  </si>
  <si>
    <t>washing Fragrance Pods</t>
  </si>
  <si>
    <t>WM1</t>
  </si>
  <si>
    <t>WM2</t>
  </si>
  <si>
    <t>WM3</t>
  </si>
  <si>
    <t>WM4</t>
  </si>
  <si>
    <t>WM5</t>
  </si>
  <si>
    <t>WM6</t>
  </si>
  <si>
    <t>DW1</t>
  </si>
  <si>
    <t>DW2</t>
  </si>
  <si>
    <t>DW3</t>
  </si>
  <si>
    <t>DW4</t>
  </si>
  <si>
    <t>DW5</t>
  </si>
  <si>
    <t>DW6</t>
  </si>
  <si>
    <t>DW7</t>
  </si>
  <si>
    <t>WMP</t>
  </si>
  <si>
    <t>WMC</t>
  </si>
  <si>
    <t>DWP</t>
  </si>
  <si>
    <t>WMN</t>
  </si>
  <si>
    <t>DWN</t>
  </si>
  <si>
    <t>DWC</t>
  </si>
  <si>
    <t>DSN</t>
  </si>
  <si>
    <t>DSP</t>
  </si>
  <si>
    <t>DSC</t>
  </si>
  <si>
    <t>WFPN</t>
  </si>
  <si>
    <t>WFPP</t>
  </si>
  <si>
    <t>WFPC</t>
  </si>
  <si>
    <t>KRN</t>
  </si>
  <si>
    <t>KRP</t>
  </si>
  <si>
    <t>KRC</t>
  </si>
  <si>
    <t>TRN</t>
  </si>
  <si>
    <t>TRP</t>
  </si>
  <si>
    <t>TRC</t>
  </si>
  <si>
    <t>BBN</t>
  </si>
  <si>
    <t>BBP</t>
  </si>
  <si>
    <t>BBC</t>
  </si>
  <si>
    <t>TPN</t>
  </si>
  <si>
    <t>TPP</t>
  </si>
  <si>
    <t>TPC</t>
  </si>
  <si>
    <t>HSN</t>
  </si>
  <si>
    <t>HSP</t>
  </si>
  <si>
    <t>HSC</t>
  </si>
  <si>
    <t>DEON</t>
  </si>
  <si>
    <t>DEOP</t>
  </si>
  <si>
    <t>DEOC</t>
  </si>
  <si>
    <t>SHAN</t>
  </si>
  <si>
    <t>SHAP</t>
  </si>
  <si>
    <t>SHAC</t>
  </si>
  <si>
    <t>BWN</t>
  </si>
  <si>
    <t>BWP</t>
  </si>
  <si>
    <t>BWC</t>
  </si>
  <si>
    <t>CONN</t>
  </si>
  <si>
    <t>CONP</t>
  </si>
  <si>
    <t>CONC</t>
  </si>
  <si>
    <t>DFN</t>
  </si>
  <si>
    <t>DFP</t>
  </si>
  <si>
    <t>DFC</t>
  </si>
  <si>
    <t>CFN</t>
  </si>
  <si>
    <t>CFP</t>
  </si>
  <si>
    <t>CFC</t>
  </si>
  <si>
    <t>WFPN1</t>
  </si>
  <si>
    <t>WFPN2</t>
  </si>
  <si>
    <t>WFPN3</t>
  </si>
  <si>
    <t>WFPN4</t>
  </si>
  <si>
    <t>WFPN5</t>
  </si>
  <si>
    <t>WFPN6</t>
  </si>
  <si>
    <t>WFPN7</t>
  </si>
  <si>
    <t>Low</t>
  </si>
  <si>
    <t>Medium</t>
  </si>
  <si>
    <t>High</t>
  </si>
  <si>
    <t>scrambler</t>
  </si>
  <si>
    <t>delete</t>
  </si>
  <si>
    <t>DS1</t>
  </si>
  <si>
    <t>DS2</t>
  </si>
  <si>
    <t>DS3</t>
  </si>
  <si>
    <t>DS4</t>
  </si>
  <si>
    <t>DS5</t>
  </si>
  <si>
    <t>DS6</t>
  </si>
  <si>
    <t>DS7</t>
  </si>
  <si>
    <t>KR1</t>
  </si>
  <si>
    <t>KR2</t>
  </si>
  <si>
    <t>KR3</t>
  </si>
  <si>
    <t>KR4</t>
  </si>
  <si>
    <t>KR5</t>
  </si>
  <si>
    <t>KR6</t>
  </si>
  <si>
    <t>KR7</t>
  </si>
  <si>
    <t>TR1</t>
  </si>
  <si>
    <t>TR2</t>
  </si>
  <si>
    <t>TR3</t>
  </si>
  <si>
    <t>TR4</t>
  </si>
  <si>
    <t>TR5</t>
  </si>
  <si>
    <t>TR6</t>
  </si>
  <si>
    <t>TR7</t>
  </si>
  <si>
    <t>BB1</t>
  </si>
  <si>
    <t>BB2</t>
  </si>
  <si>
    <t>BB3</t>
  </si>
  <si>
    <t>BB4</t>
  </si>
  <si>
    <t>BB5</t>
  </si>
  <si>
    <t>BB6</t>
  </si>
  <si>
    <t>BB7</t>
  </si>
  <si>
    <t>TP1</t>
  </si>
  <si>
    <t>TP2</t>
  </si>
  <si>
    <t>TP3</t>
  </si>
  <si>
    <t>TP4</t>
  </si>
  <si>
    <t>TP5</t>
  </si>
  <si>
    <t>TP6</t>
  </si>
  <si>
    <t>TP7</t>
  </si>
  <si>
    <t>HS1</t>
  </si>
  <si>
    <t>HS2</t>
  </si>
  <si>
    <t>HS3</t>
  </si>
  <si>
    <t>HS4</t>
  </si>
  <si>
    <t>HS5</t>
  </si>
  <si>
    <t>HS6</t>
  </si>
  <si>
    <t>HS7</t>
  </si>
  <si>
    <t>DE1</t>
  </si>
  <si>
    <t>DE2</t>
  </si>
  <si>
    <t>DE3</t>
  </si>
  <si>
    <t>DE4</t>
  </si>
  <si>
    <t>DE5</t>
  </si>
  <si>
    <t>DE6</t>
  </si>
  <si>
    <t>DE7</t>
  </si>
  <si>
    <t>SH1</t>
  </si>
  <si>
    <t>SH2</t>
  </si>
  <si>
    <t>SH3</t>
  </si>
  <si>
    <t>SH4</t>
  </si>
  <si>
    <t>SH5</t>
  </si>
  <si>
    <t>SH6</t>
  </si>
  <si>
    <t>SH7</t>
  </si>
  <si>
    <t>BW1</t>
  </si>
  <si>
    <t>BW2</t>
  </si>
  <si>
    <t>BW3</t>
  </si>
  <si>
    <t>BW4</t>
  </si>
  <si>
    <t>BW5</t>
  </si>
  <si>
    <t>BW6</t>
  </si>
  <si>
    <t>BW7</t>
  </si>
  <si>
    <t>CO1</t>
  </si>
  <si>
    <t>CO3</t>
  </si>
  <si>
    <t>CO4</t>
  </si>
  <si>
    <t>CO5</t>
  </si>
  <si>
    <t>CO6</t>
  </si>
  <si>
    <t>CO7</t>
  </si>
  <si>
    <t>DF1</t>
  </si>
  <si>
    <t>DF2</t>
  </si>
  <si>
    <t>DF3</t>
  </si>
  <si>
    <t>DF4</t>
  </si>
  <si>
    <t>DF5</t>
  </si>
  <si>
    <t>DF6</t>
  </si>
  <si>
    <t>DF7</t>
  </si>
  <si>
    <t>CF1</t>
  </si>
  <si>
    <t>CF2</t>
  </si>
  <si>
    <t>CF3</t>
  </si>
  <si>
    <t>CF4</t>
  </si>
  <si>
    <t>CF5</t>
  </si>
  <si>
    <t>CF6</t>
  </si>
  <si>
    <t>CF7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</si>
</sst>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0" fontId="1" fillId="6" borderId="1" xfId="0" applyFont="1" applyFill="1" applyBorder="1"/>
    <xf numFmtId="0" fontId="0" fillId="14" borderId="1" xfId="0" applyFill="1" applyBorder="1"/>
    <xf numFmtId="0" fontId="0" fillId="17" borderId="0" xfId="0" applyFill="1"/>
    <xf numFmtId="0" fontId="0" fillId="16" borderId="1" xfId="0" applyFill="1" applyBorder="1"/>
    <xf numFmtId="0" fontId="0" fillId="15" borderId="1" xfId="0" applyFill="1" applyBorder="1"/>
    <xf numFmtId="0" fontId="0" fillId="9" borderId="1" xfId="0" applyFill="1" applyBorder="1"/>
    <xf numFmtId="0" fontId="0" fillId="8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3" borderId="1" xfId="0" applyFill="1" applyBorder="1"/>
    <xf numFmtId="0" fontId="0" fillId="1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EC0E-0641-4DAB-8456-4419B67B3B32}">
  <dimension ref="A1:P106"/>
  <sheetViews>
    <sheetView topLeftCell="C1" zoomScale="85" zoomScaleNormal="85" workbookViewId="0">
      <selection activeCell="N12" sqref="N12:N18"/>
    </sheetView>
  </sheetViews>
  <sheetFormatPr defaultRowHeight="14.4" x14ac:dyDescent="0.3"/>
  <cols>
    <col min="1" max="1" width="31.21875" customWidth="1"/>
    <col min="2" max="3" width="21.44140625" customWidth="1"/>
    <col min="5" max="5" width="8.88671875" style="14"/>
    <col min="6" max="6" width="29.109375" customWidth="1"/>
    <col min="9" max="9" width="8.88671875" style="12"/>
    <col min="10" max="10" width="32.77734375" customWidth="1"/>
    <col min="13" max="13" width="8.88671875" style="21"/>
    <col min="14" max="14" width="25.88671875" customWidth="1"/>
  </cols>
  <sheetData>
    <row r="1" spans="1:16" x14ac:dyDescent="0.3">
      <c r="A1" t="s">
        <v>0</v>
      </c>
      <c r="B1" t="s">
        <v>17</v>
      </c>
      <c r="C1" t="s">
        <v>1</v>
      </c>
      <c r="F1" s="16" t="s">
        <v>21</v>
      </c>
      <c r="J1" s="16" t="s">
        <v>18</v>
      </c>
      <c r="N1" s="16" t="s">
        <v>20</v>
      </c>
    </row>
    <row r="2" spans="1:16" x14ac:dyDescent="0.3">
      <c r="A2" t="s">
        <v>2</v>
      </c>
      <c r="B2" t="s">
        <v>19</v>
      </c>
      <c r="C2" s="1"/>
      <c r="G2">
        <v>65</v>
      </c>
      <c r="H2">
        <v>34</v>
      </c>
    </row>
    <row r="3" spans="1:16" x14ac:dyDescent="0.3">
      <c r="A3" t="s">
        <v>4</v>
      </c>
      <c r="B3" t="s">
        <v>19</v>
      </c>
      <c r="C3" s="5"/>
      <c r="F3" s="17" t="s">
        <v>22</v>
      </c>
      <c r="G3" s="17" t="s">
        <v>41</v>
      </c>
      <c r="H3" s="17" t="s">
        <v>24</v>
      </c>
      <c r="J3" s="17" t="s">
        <v>3</v>
      </c>
      <c r="K3" s="17" t="s">
        <v>23</v>
      </c>
      <c r="L3" s="17" t="s">
        <v>24</v>
      </c>
      <c r="N3" s="17" t="s">
        <v>12</v>
      </c>
      <c r="O3" s="17" t="s">
        <v>23</v>
      </c>
      <c r="P3" s="17" t="s">
        <v>24</v>
      </c>
    </row>
    <row r="4" spans="1:16" x14ac:dyDescent="0.3">
      <c r="A4" t="s">
        <v>6</v>
      </c>
      <c r="B4" t="s">
        <v>19</v>
      </c>
      <c r="C4" s="7"/>
      <c r="F4" s="18" t="s">
        <v>28</v>
      </c>
      <c r="G4">
        <v>6.56</v>
      </c>
      <c r="H4">
        <v>15</v>
      </c>
      <c r="J4" s="26" t="s">
        <v>126</v>
      </c>
      <c r="K4">
        <v>4.5</v>
      </c>
      <c r="L4">
        <v>5</v>
      </c>
      <c r="N4" s="32" t="s">
        <v>167</v>
      </c>
      <c r="O4">
        <v>20.100000000000001</v>
      </c>
      <c r="P4">
        <v>16</v>
      </c>
    </row>
    <row r="5" spans="1:16" x14ac:dyDescent="0.3">
      <c r="A5" t="s">
        <v>7</v>
      </c>
      <c r="B5" t="s">
        <v>19</v>
      </c>
      <c r="C5" s="8"/>
      <c r="F5" s="18" t="s">
        <v>29</v>
      </c>
      <c r="G5">
        <v>12</v>
      </c>
      <c r="H5">
        <v>10</v>
      </c>
      <c r="J5" s="26" t="s">
        <v>127</v>
      </c>
      <c r="K5">
        <v>3.95</v>
      </c>
      <c r="L5">
        <v>9</v>
      </c>
      <c r="N5" s="32" t="s">
        <v>168</v>
      </c>
      <c r="O5">
        <v>15</v>
      </c>
      <c r="P5">
        <v>18</v>
      </c>
    </row>
    <row r="6" spans="1:16" x14ac:dyDescent="0.3">
      <c r="A6" t="s">
        <v>14</v>
      </c>
      <c r="B6" t="s">
        <v>19</v>
      </c>
      <c r="C6" s="13"/>
      <c r="F6" s="18" t="s">
        <v>30</v>
      </c>
      <c r="G6">
        <v>11.8</v>
      </c>
      <c r="H6">
        <v>9</v>
      </c>
      <c r="J6" s="26" t="s">
        <v>128</v>
      </c>
      <c r="K6">
        <v>0.95</v>
      </c>
      <c r="L6">
        <v>7</v>
      </c>
      <c r="N6" s="32" t="s">
        <v>169</v>
      </c>
      <c r="O6">
        <v>14</v>
      </c>
      <c r="P6">
        <v>17</v>
      </c>
    </row>
    <row r="7" spans="1:16" x14ac:dyDescent="0.3">
      <c r="A7" t="s">
        <v>15</v>
      </c>
      <c r="B7" t="s">
        <v>19</v>
      </c>
      <c r="C7" s="14"/>
      <c r="F7" s="18" t="s">
        <v>31</v>
      </c>
      <c r="G7">
        <v>12</v>
      </c>
      <c r="H7">
        <v>8</v>
      </c>
      <c r="J7" s="26" t="s">
        <v>129</v>
      </c>
      <c r="K7">
        <v>6.5</v>
      </c>
      <c r="L7">
        <v>8</v>
      </c>
      <c r="N7" s="32" t="s">
        <v>170</v>
      </c>
      <c r="O7">
        <v>19</v>
      </c>
      <c r="P7">
        <v>21</v>
      </c>
    </row>
    <row r="8" spans="1:16" x14ac:dyDescent="0.3">
      <c r="A8" t="s">
        <v>16</v>
      </c>
      <c r="B8" t="s">
        <v>19</v>
      </c>
      <c r="C8" s="15"/>
      <c r="F8" s="18" t="s">
        <v>32</v>
      </c>
      <c r="G8">
        <v>0</v>
      </c>
      <c r="H8">
        <v>0</v>
      </c>
      <c r="J8" s="26" t="s">
        <v>130</v>
      </c>
      <c r="K8">
        <v>0</v>
      </c>
      <c r="L8">
        <v>0</v>
      </c>
      <c r="N8" s="32" t="s">
        <v>171</v>
      </c>
      <c r="O8">
        <f>O32*O10/(O10-5)</f>
        <v>0</v>
      </c>
      <c r="P8">
        <f>P32*P10/(P10-5)</f>
        <v>0</v>
      </c>
    </row>
    <row r="9" spans="1:16" x14ac:dyDescent="0.3">
      <c r="A9" t="s">
        <v>3</v>
      </c>
      <c r="B9" t="s">
        <v>18</v>
      </c>
      <c r="C9" s="4"/>
      <c r="F9" s="18" t="s">
        <v>33</v>
      </c>
      <c r="G9">
        <v>0</v>
      </c>
      <c r="H9">
        <v>0</v>
      </c>
      <c r="J9" s="26" t="s">
        <v>131</v>
      </c>
      <c r="K9">
        <v>0</v>
      </c>
      <c r="L9">
        <v>0</v>
      </c>
      <c r="N9" s="32" t="s">
        <v>172</v>
      </c>
      <c r="O9">
        <f>O33*O10/(O10-10)</f>
        <v>0</v>
      </c>
      <c r="P9">
        <f>P33*P10/(P10-10)</f>
        <v>0</v>
      </c>
    </row>
    <row r="10" spans="1:16" x14ac:dyDescent="0.3">
      <c r="A10" t="s">
        <v>5</v>
      </c>
      <c r="B10" t="s">
        <v>18</v>
      </c>
      <c r="C10" s="6"/>
      <c r="F10" s="18" t="s">
        <v>96</v>
      </c>
      <c r="G10" s="18">
        <v>56</v>
      </c>
      <c r="H10" s="18">
        <v>43</v>
      </c>
      <c r="J10" s="26" t="s">
        <v>132</v>
      </c>
      <c r="K10" s="19">
        <v>84</v>
      </c>
      <c r="L10" s="19">
        <v>76</v>
      </c>
      <c r="N10" s="32" t="s">
        <v>173</v>
      </c>
      <c r="O10" s="19">
        <v>74</v>
      </c>
      <c r="P10" s="19">
        <v>56</v>
      </c>
    </row>
    <row r="11" spans="1:16" x14ac:dyDescent="0.3">
      <c r="A11" t="s">
        <v>8</v>
      </c>
      <c r="B11" t="s">
        <v>18</v>
      </c>
      <c r="C11" s="9"/>
      <c r="F11" s="17" t="s">
        <v>25</v>
      </c>
      <c r="G11" s="17" t="s">
        <v>23</v>
      </c>
      <c r="H11" s="17" t="s">
        <v>24</v>
      </c>
      <c r="J11" s="17" t="s">
        <v>5</v>
      </c>
      <c r="K11" s="17" t="s">
        <v>23</v>
      </c>
      <c r="L11" s="17" t="s">
        <v>24</v>
      </c>
      <c r="N11" s="17" t="s">
        <v>13</v>
      </c>
      <c r="O11" s="17" t="s">
        <v>23</v>
      </c>
      <c r="P11" s="17" t="s">
        <v>24</v>
      </c>
    </row>
    <row r="12" spans="1:16" x14ac:dyDescent="0.3">
      <c r="A12" t="s">
        <v>9</v>
      </c>
      <c r="B12" t="s">
        <v>18</v>
      </c>
      <c r="C12" s="10"/>
      <c r="F12" s="19" t="s">
        <v>34</v>
      </c>
      <c r="G12">
        <v>2</v>
      </c>
      <c r="H12">
        <v>8</v>
      </c>
      <c r="J12" s="27" t="s">
        <v>133</v>
      </c>
      <c r="K12">
        <v>2</v>
      </c>
      <c r="L12">
        <v>6</v>
      </c>
      <c r="N12" s="33" t="s">
        <v>174</v>
      </c>
      <c r="O12">
        <v>3.9</v>
      </c>
      <c r="P12">
        <v>8</v>
      </c>
    </row>
    <row r="13" spans="1:16" x14ac:dyDescent="0.3">
      <c r="A13" t="s">
        <v>10</v>
      </c>
      <c r="B13" t="s">
        <v>18</v>
      </c>
      <c r="C13" s="12"/>
      <c r="F13" s="19" t="s">
        <v>35</v>
      </c>
      <c r="G13">
        <v>5</v>
      </c>
      <c r="H13">
        <v>6</v>
      </c>
      <c r="J13" s="27" t="s">
        <v>134</v>
      </c>
      <c r="K13">
        <v>0.59</v>
      </c>
      <c r="L13">
        <v>5</v>
      </c>
      <c r="N13" s="33" t="s">
        <v>175</v>
      </c>
      <c r="O13">
        <v>5</v>
      </c>
      <c r="P13">
        <v>6</v>
      </c>
    </row>
    <row r="14" spans="1:16" x14ac:dyDescent="0.3">
      <c r="A14" t="s">
        <v>11</v>
      </c>
      <c r="B14" t="s">
        <v>18</v>
      </c>
      <c r="C14" s="11"/>
      <c r="F14" s="19" t="s">
        <v>36</v>
      </c>
      <c r="G14">
        <v>5.5</v>
      </c>
      <c r="H14">
        <v>5</v>
      </c>
      <c r="J14" s="27" t="s">
        <v>135</v>
      </c>
      <c r="K14">
        <v>2.5</v>
      </c>
      <c r="L14">
        <v>3</v>
      </c>
      <c r="N14" s="33" t="s">
        <v>176</v>
      </c>
      <c r="O14">
        <v>4.9000000000000004</v>
      </c>
      <c r="P14">
        <v>9</v>
      </c>
    </row>
    <row r="15" spans="1:16" x14ac:dyDescent="0.3">
      <c r="A15" t="s">
        <v>12</v>
      </c>
      <c r="B15" t="s">
        <v>20</v>
      </c>
      <c r="C15" s="2"/>
      <c r="F15" s="19" t="s">
        <v>37</v>
      </c>
      <c r="G15">
        <v>7.5</v>
      </c>
      <c r="H15">
        <v>2</v>
      </c>
      <c r="J15" s="27" t="s">
        <v>136</v>
      </c>
      <c r="K15">
        <v>3</v>
      </c>
      <c r="L15">
        <v>7</v>
      </c>
      <c r="N15" s="33" t="s">
        <v>177</v>
      </c>
      <c r="O15">
        <v>6</v>
      </c>
      <c r="P15">
        <v>3</v>
      </c>
    </row>
    <row r="16" spans="1:16" x14ac:dyDescent="0.3">
      <c r="A16" t="s">
        <v>13</v>
      </c>
      <c r="B16" t="s">
        <v>20</v>
      </c>
      <c r="C16" s="3"/>
      <c r="F16" s="19" t="s">
        <v>38</v>
      </c>
      <c r="G16">
        <v>0</v>
      </c>
      <c r="H16">
        <v>0</v>
      </c>
      <c r="J16" s="27" t="s">
        <v>137</v>
      </c>
      <c r="K16">
        <v>0</v>
      </c>
      <c r="L16">
        <v>0</v>
      </c>
      <c r="N16" s="33" t="s">
        <v>178</v>
      </c>
      <c r="O16">
        <f>O40*O18/(O18-5)</f>
        <v>0</v>
      </c>
      <c r="P16">
        <f>P40*P18/(P18-5)</f>
        <v>0</v>
      </c>
    </row>
    <row r="17" spans="1:16" x14ac:dyDescent="0.3">
      <c r="F17" s="19" t="s">
        <v>39</v>
      </c>
      <c r="G17">
        <v>0</v>
      </c>
      <c r="H17">
        <v>0</v>
      </c>
      <c r="J17" s="27" t="s">
        <v>138</v>
      </c>
      <c r="K17">
        <v>0</v>
      </c>
      <c r="L17">
        <v>0</v>
      </c>
      <c r="N17" s="33" t="s">
        <v>179</v>
      </c>
      <c r="O17">
        <f>O41*O18/(O18-10)</f>
        <v>0</v>
      </c>
      <c r="P17">
        <f>P41*P18/(P18-10)</f>
        <v>0</v>
      </c>
    </row>
    <row r="18" spans="1:16" x14ac:dyDescent="0.3">
      <c r="F18" s="19" t="s">
        <v>40</v>
      </c>
      <c r="G18">
        <v>0</v>
      </c>
      <c r="H18">
        <v>0</v>
      </c>
      <c r="J18" s="27" t="s">
        <v>139</v>
      </c>
      <c r="K18">
        <v>0</v>
      </c>
      <c r="L18">
        <v>0</v>
      </c>
      <c r="N18" s="33" t="s">
        <v>180</v>
      </c>
      <c r="O18" s="19">
        <v>65</v>
      </c>
      <c r="P18" s="19">
        <v>74</v>
      </c>
    </row>
    <row r="19" spans="1:16" x14ac:dyDescent="0.3">
      <c r="F19" s="17" t="s">
        <v>26</v>
      </c>
      <c r="G19" s="17" t="s">
        <v>23</v>
      </c>
      <c r="H19" s="17" t="s">
        <v>24</v>
      </c>
      <c r="J19" s="17" t="s">
        <v>8</v>
      </c>
      <c r="K19" s="17" t="s">
        <v>23</v>
      </c>
      <c r="L19" s="17" t="s">
        <v>24</v>
      </c>
    </row>
    <row r="20" spans="1:16" x14ac:dyDescent="0.3">
      <c r="F20" s="25" t="s">
        <v>98</v>
      </c>
      <c r="G20">
        <v>0.7</v>
      </c>
      <c r="H20">
        <v>6</v>
      </c>
      <c r="J20" s="28" t="s">
        <v>140</v>
      </c>
      <c r="K20">
        <v>2.8</v>
      </c>
      <c r="L20">
        <v>2</v>
      </c>
    </row>
    <row r="21" spans="1:16" x14ac:dyDescent="0.3">
      <c r="A21" t="s">
        <v>93</v>
      </c>
      <c r="F21" s="25" t="s">
        <v>99</v>
      </c>
      <c r="G21">
        <v>1.5</v>
      </c>
      <c r="H21">
        <v>5</v>
      </c>
      <c r="J21" s="28" t="s">
        <v>141</v>
      </c>
      <c r="K21">
        <v>6.6</v>
      </c>
      <c r="L21">
        <v>3</v>
      </c>
    </row>
    <row r="22" spans="1:16" x14ac:dyDescent="0.3">
      <c r="A22">
        <v>3</v>
      </c>
      <c r="B22">
        <v>4.8</v>
      </c>
      <c r="F22" s="25" t="s">
        <v>100</v>
      </c>
      <c r="G22">
        <v>2.5</v>
      </c>
      <c r="H22">
        <v>2</v>
      </c>
      <c r="J22" s="28" t="s">
        <v>142</v>
      </c>
      <c r="K22">
        <v>2.75</v>
      </c>
      <c r="L22">
        <v>2</v>
      </c>
    </row>
    <row r="23" spans="1:16" x14ac:dyDescent="0.3">
      <c r="A23">
        <v>3.5</v>
      </c>
      <c r="B23">
        <v>4.5999999999999996</v>
      </c>
      <c r="F23" s="25" t="s">
        <v>101</v>
      </c>
      <c r="G23">
        <v>1.5</v>
      </c>
      <c r="H23">
        <v>3</v>
      </c>
      <c r="J23" s="28" t="s">
        <v>143</v>
      </c>
      <c r="K23">
        <v>1.95</v>
      </c>
      <c r="L23">
        <v>4</v>
      </c>
    </row>
    <row r="24" spans="1:16" x14ac:dyDescent="0.3">
      <c r="A24">
        <v>3.5</v>
      </c>
      <c r="B24">
        <v>4.2</v>
      </c>
      <c r="F24" s="25" t="s">
        <v>102</v>
      </c>
      <c r="G24">
        <v>0</v>
      </c>
      <c r="H24">
        <v>0</v>
      </c>
      <c r="J24" s="28" t="s">
        <v>144</v>
      </c>
      <c r="K24">
        <v>0</v>
      </c>
      <c r="L24">
        <v>0</v>
      </c>
    </row>
    <row r="25" spans="1:16" x14ac:dyDescent="0.3">
      <c r="A25">
        <v>4</v>
      </c>
      <c r="B25">
        <v>6</v>
      </c>
      <c r="F25" s="25" t="s">
        <v>103</v>
      </c>
      <c r="G25">
        <v>0</v>
      </c>
      <c r="H25">
        <v>0</v>
      </c>
      <c r="J25" s="28" t="s">
        <v>145</v>
      </c>
      <c r="K25">
        <v>0</v>
      </c>
      <c r="L25">
        <v>0</v>
      </c>
    </row>
    <row r="26" spans="1:16" x14ac:dyDescent="0.3">
      <c r="A26">
        <v>4</v>
      </c>
      <c r="B26">
        <v>3.7</v>
      </c>
      <c r="F26" s="25" t="s">
        <v>104</v>
      </c>
      <c r="G26">
        <v>0</v>
      </c>
      <c r="H26">
        <v>0</v>
      </c>
      <c r="J26" s="28" t="s">
        <v>146</v>
      </c>
      <c r="K26">
        <v>0</v>
      </c>
      <c r="L26">
        <v>0</v>
      </c>
    </row>
    <row r="27" spans="1:16" x14ac:dyDescent="0.3">
      <c r="A27">
        <v>4.5</v>
      </c>
      <c r="B27">
        <v>3.2</v>
      </c>
      <c r="F27" s="17" t="s">
        <v>27</v>
      </c>
      <c r="G27" s="17" t="s">
        <v>23</v>
      </c>
      <c r="H27" s="17" t="s">
        <v>24</v>
      </c>
      <c r="J27" s="17" t="s">
        <v>9</v>
      </c>
      <c r="K27" s="17" t="s">
        <v>23</v>
      </c>
      <c r="L27" s="17" t="s">
        <v>24</v>
      </c>
    </row>
    <row r="28" spans="1:16" x14ac:dyDescent="0.3">
      <c r="A28" t="s">
        <v>94</v>
      </c>
      <c r="F28" s="24" t="s">
        <v>86</v>
      </c>
      <c r="G28" t="s">
        <v>97</v>
      </c>
      <c r="H28">
        <f>H84*H34/(H34-10)</f>
        <v>0</v>
      </c>
      <c r="J28" s="29" t="s">
        <v>147</v>
      </c>
      <c r="K28">
        <v>4.25</v>
      </c>
      <c r="L28">
        <v>8</v>
      </c>
    </row>
    <row r="29" spans="1:16" x14ac:dyDescent="0.3">
      <c r="A29">
        <v>5</v>
      </c>
      <c r="B29">
        <v>6.7</v>
      </c>
      <c r="F29" s="24" t="s">
        <v>87</v>
      </c>
      <c r="G29">
        <f>G85*G34/(G34-15)</f>
        <v>0</v>
      </c>
      <c r="H29">
        <f>H85*H34/(H34-8)</f>
        <v>0</v>
      </c>
      <c r="J29" s="29" t="s">
        <v>148</v>
      </c>
      <c r="K29">
        <v>11.7</v>
      </c>
      <c r="L29">
        <v>6</v>
      </c>
    </row>
    <row r="30" spans="1:16" x14ac:dyDescent="0.3">
      <c r="A30">
        <v>5.5</v>
      </c>
      <c r="B30">
        <v>6.5</v>
      </c>
      <c r="F30" s="24" t="s">
        <v>88</v>
      </c>
      <c r="G30">
        <f>G86*G34/(G34-20)</f>
        <v>0</v>
      </c>
      <c r="H30">
        <f>H86*H34/(H34-7)</f>
        <v>0</v>
      </c>
      <c r="J30" s="29" t="s">
        <v>149</v>
      </c>
      <c r="K30">
        <v>15</v>
      </c>
      <c r="L30">
        <v>7</v>
      </c>
    </row>
    <row r="31" spans="1:16" x14ac:dyDescent="0.3">
      <c r="A31">
        <v>5.5</v>
      </c>
      <c r="B31">
        <v>6.2</v>
      </c>
      <c r="F31" s="24" t="s">
        <v>89</v>
      </c>
      <c r="G31">
        <f>G87*G34/(G34-10)</f>
        <v>0</v>
      </c>
      <c r="H31">
        <f>H87*H34/(H34-10)</f>
        <v>0</v>
      </c>
      <c r="J31" s="29" t="s">
        <v>150</v>
      </c>
      <c r="K31">
        <v>13.6</v>
      </c>
      <c r="L31">
        <v>4</v>
      </c>
    </row>
    <row r="32" spans="1:16" x14ac:dyDescent="0.3">
      <c r="A32">
        <v>6</v>
      </c>
      <c r="B32">
        <v>5.8</v>
      </c>
      <c r="F32" s="24" t="s">
        <v>90</v>
      </c>
      <c r="G32">
        <v>0</v>
      </c>
      <c r="H32">
        <v>0</v>
      </c>
      <c r="J32" s="29" t="s">
        <v>151</v>
      </c>
      <c r="K32">
        <v>0</v>
      </c>
      <c r="L32">
        <v>0</v>
      </c>
    </row>
    <row r="33" spans="1:12" x14ac:dyDescent="0.3">
      <c r="A33">
        <v>6</v>
      </c>
      <c r="B33">
        <v>5.0999999999999996</v>
      </c>
      <c r="F33" s="24" t="s">
        <v>91</v>
      </c>
      <c r="G33">
        <v>0</v>
      </c>
      <c r="H33">
        <v>0</v>
      </c>
      <c r="J33" s="29" t="s">
        <v>152</v>
      </c>
      <c r="K33">
        <v>0</v>
      </c>
      <c r="L33">
        <v>0</v>
      </c>
    </row>
    <row r="34" spans="1:12" x14ac:dyDescent="0.3">
      <c r="A34">
        <v>6.5</v>
      </c>
      <c r="B34">
        <v>4.8</v>
      </c>
      <c r="F34" s="24" t="s">
        <v>92</v>
      </c>
      <c r="G34">
        <v>0</v>
      </c>
      <c r="H34">
        <v>0</v>
      </c>
      <c r="J34" s="29" t="s">
        <v>153</v>
      </c>
      <c r="K34">
        <v>0</v>
      </c>
      <c r="L34">
        <v>0</v>
      </c>
    </row>
    <row r="35" spans="1:12" x14ac:dyDescent="0.3">
      <c r="A35" t="s">
        <v>95</v>
      </c>
      <c r="F35" s="17" t="s">
        <v>14</v>
      </c>
      <c r="G35" s="17" t="s">
        <v>23</v>
      </c>
      <c r="H35" s="17" t="s">
        <v>24</v>
      </c>
      <c r="J35" s="17" t="s">
        <v>10</v>
      </c>
      <c r="K35" s="17" t="s">
        <v>23</v>
      </c>
      <c r="L35" s="17" t="s">
        <v>24</v>
      </c>
    </row>
    <row r="36" spans="1:12" x14ac:dyDescent="0.3">
      <c r="A36">
        <v>10</v>
      </c>
      <c r="B36">
        <v>13.9</v>
      </c>
      <c r="F36" s="20" t="s">
        <v>105</v>
      </c>
      <c r="G36">
        <v>5</v>
      </c>
      <c r="H36">
        <v>5</v>
      </c>
      <c r="J36" s="30" t="s">
        <v>154</v>
      </c>
      <c r="K36">
        <v>2.1</v>
      </c>
      <c r="L36">
        <v>8</v>
      </c>
    </row>
    <row r="37" spans="1:12" x14ac:dyDescent="0.3">
      <c r="A37">
        <v>12</v>
      </c>
      <c r="B37">
        <v>13.1</v>
      </c>
      <c r="F37" s="20" t="s">
        <v>106</v>
      </c>
      <c r="G37">
        <v>4</v>
      </c>
      <c r="H37">
        <v>8</v>
      </c>
      <c r="J37" s="30" t="s">
        <v>155</v>
      </c>
      <c r="K37">
        <v>1.9</v>
      </c>
      <c r="L37">
        <v>6</v>
      </c>
    </row>
    <row r="38" spans="1:12" x14ac:dyDescent="0.3">
      <c r="A38">
        <v>12</v>
      </c>
      <c r="B38">
        <v>12.9</v>
      </c>
      <c r="F38" s="20" t="s">
        <v>107</v>
      </c>
      <c r="G38">
        <v>3.9</v>
      </c>
      <c r="H38">
        <v>6</v>
      </c>
      <c r="J38" s="30" t="s">
        <v>156</v>
      </c>
      <c r="K38">
        <v>2.4</v>
      </c>
      <c r="L38">
        <v>4</v>
      </c>
    </row>
    <row r="39" spans="1:12" x14ac:dyDescent="0.3">
      <c r="A39">
        <v>12.5</v>
      </c>
      <c r="B39">
        <v>12.5</v>
      </c>
      <c r="F39" s="20" t="s">
        <v>108</v>
      </c>
      <c r="G39">
        <v>2.5</v>
      </c>
      <c r="H39">
        <v>9</v>
      </c>
      <c r="J39" s="30" t="s">
        <v>157</v>
      </c>
      <c r="K39">
        <v>2</v>
      </c>
      <c r="L39">
        <v>7</v>
      </c>
    </row>
    <row r="40" spans="1:12" x14ac:dyDescent="0.3">
      <c r="A40">
        <v>12.5</v>
      </c>
      <c r="B40">
        <v>12.1</v>
      </c>
      <c r="F40" s="20" t="s">
        <v>109</v>
      </c>
      <c r="G40">
        <v>0</v>
      </c>
      <c r="H40">
        <v>0</v>
      </c>
      <c r="J40" s="30" t="s">
        <v>158</v>
      </c>
      <c r="K40">
        <v>0</v>
      </c>
      <c r="L40">
        <v>0</v>
      </c>
    </row>
    <row r="41" spans="1:12" x14ac:dyDescent="0.3">
      <c r="A41">
        <v>14</v>
      </c>
      <c r="B41">
        <v>11.2</v>
      </c>
      <c r="F41" s="20" t="s">
        <v>110</v>
      </c>
      <c r="G41">
        <v>0</v>
      </c>
      <c r="H41">
        <v>0</v>
      </c>
      <c r="J41" s="30" t="s">
        <v>159</v>
      </c>
      <c r="K41">
        <v>0</v>
      </c>
      <c r="L41">
        <v>0</v>
      </c>
    </row>
    <row r="42" spans="1:12" x14ac:dyDescent="0.3">
      <c r="F42" s="20" t="s">
        <v>111</v>
      </c>
      <c r="G42">
        <v>0</v>
      </c>
      <c r="H42">
        <v>0</v>
      </c>
      <c r="J42" s="30" t="s">
        <v>160</v>
      </c>
      <c r="K42">
        <v>0</v>
      </c>
      <c r="L42">
        <v>0</v>
      </c>
    </row>
    <row r="43" spans="1:12" x14ac:dyDescent="0.3">
      <c r="F43" s="17" t="s">
        <v>15</v>
      </c>
      <c r="G43" s="17" t="s">
        <v>23</v>
      </c>
      <c r="H43" s="17" t="s">
        <v>24</v>
      </c>
      <c r="J43" s="17" t="s">
        <v>11</v>
      </c>
      <c r="K43" s="17" t="s">
        <v>23</v>
      </c>
      <c r="L43" s="17" t="s">
        <v>24</v>
      </c>
    </row>
    <row r="44" spans="1:12" x14ac:dyDescent="0.3">
      <c r="F44" s="23" t="s">
        <v>112</v>
      </c>
      <c r="G44">
        <v>13.3</v>
      </c>
      <c r="H44">
        <v>7</v>
      </c>
      <c r="J44" s="31" t="s">
        <v>161</v>
      </c>
      <c r="K44">
        <v>7.5</v>
      </c>
      <c r="L44">
        <v>5</v>
      </c>
    </row>
    <row r="45" spans="1:12" x14ac:dyDescent="0.3">
      <c r="F45" s="23" t="s">
        <v>113</v>
      </c>
      <c r="G45">
        <v>12</v>
      </c>
      <c r="H45">
        <v>11</v>
      </c>
      <c r="J45" s="31" t="s">
        <v>24</v>
      </c>
      <c r="K45">
        <v>5.5</v>
      </c>
      <c r="L45">
        <v>10</v>
      </c>
    </row>
    <row r="46" spans="1:12" x14ac:dyDescent="0.3">
      <c r="F46" s="23" t="s">
        <v>114</v>
      </c>
      <c r="G46">
        <v>14</v>
      </c>
      <c r="H46">
        <v>9</v>
      </c>
      <c r="J46" s="31" t="s">
        <v>162</v>
      </c>
      <c r="K46">
        <v>0.95</v>
      </c>
      <c r="L46">
        <v>8</v>
      </c>
    </row>
    <row r="47" spans="1:12" x14ac:dyDescent="0.3">
      <c r="F47" s="23" t="s">
        <v>115</v>
      </c>
      <c r="G47">
        <v>10.6</v>
      </c>
      <c r="H47">
        <v>10</v>
      </c>
      <c r="J47" s="31" t="s">
        <v>163</v>
      </c>
      <c r="K47">
        <v>6.2</v>
      </c>
      <c r="L47">
        <v>6</v>
      </c>
    </row>
    <row r="48" spans="1:12" x14ac:dyDescent="0.3">
      <c r="F48" s="23" t="s">
        <v>116</v>
      </c>
      <c r="G48">
        <v>0</v>
      </c>
      <c r="H48">
        <v>0</v>
      </c>
      <c r="J48" s="31" t="s">
        <v>164</v>
      </c>
      <c r="K48">
        <v>0</v>
      </c>
      <c r="L48">
        <v>0</v>
      </c>
    </row>
    <row r="49" spans="6:12" x14ac:dyDescent="0.3">
      <c r="F49" s="23" t="s">
        <v>117</v>
      </c>
      <c r="G49">
        <v>0</v>
      </c>
      <c r="H49">
        <v>0</v>
      </c>
      <c r="J49" s="31" t="s">
        <v>165</v>
      </c>
      <c r="K49">
        <v>0</v>
      </c>
      <c r="L49">
        <v>0</v>
      </c>
    </row>
    <row r="50" spans="6:12" x14ac:dyDescent="0.3">
      <c r="F50" s="23" t="s">
        <v>118</v>
      </c>
      <c r="G50">
        <v>0</v>
      </c>
      <c r="H50">
        <v>0</v>
      </c>
      <c r="J50" s="31" t="s">
        <v>166</v>
      </c>
      <c r="K50">
        <v>0</v>
      </c>
      <c r="L50">
        <v>0</v>
      </c>
    </row>
    <row r="51" spans="6:12" x14ac:dyDescent="0.3">
      <c r="F51" s="17" t="s">
        <v>16</v>
      </c>
      <c r="G51" s="17" t="s">
        <v>23</v>
      </c>
      <c r="H51" s="17" t="s">
        <v>24</v>
      </c>
    </row>
    <row r="52" spans="6:12" x14ac:dyDescent="0.3">
      <c r="F52" s="22" t="s">
        <v>119</v>
      </c>
      <c r="G52">
        <v>4.25</v>
      </c>
      <c r="H52">
        <v>9</v>
      </c>
    </row>
    <row r="53" spans="6:12" x14ac:dyDescent="0.3">
      <c r="F53" s="22" t="s">
        <v>120</v>
      </c>
      <c r="G53">
        <v>12.5</v>
      </c>
      <c r="H53">
        <v>6</v>
      </c>
    </row>
    <row r="54" spans="6:12" x14ac:dyDescent="0.3">
      <c r="F54" s="22" t="s">
        <v>121</v>
      </c>
      <c r="G54">
        <v>15</v>
      </c>
      <c r="H54">
        <v>5</v>
      </c>
    </row>
    <row r="55" spans="6:12" x14ac:dyDescent="0.3">
      <c r="F55" s="22" t="s">
        <v>122</v>
      </c>
      <c r="G55">
        <v>8</v>
      </c>
      <c r="H55">
        <v>8</v>
      </c>
    </row>
    <row r="56" spans="6:12" x14ac:dyDescent="0.3">
      <c r="F56" s="22" t="s">
        <v>123</v>
      </c>
      <c r="G56">
        <v>0</v>
      </c>
      <c r="H56">
        <v>0</v>
      </c>
    </row>
    <row r="57" spans="6:12" x14ac:dyDescent="0.3">
      <c r="F57" s="22" t="s">
        <v>124</v>
      </c>
      <c r="G57">
        <v>0</v>
      </c>
      <c r="H57">
        <v>0</v>
      </c>
    </row>
    <row r="58" spans="6:12" x14ac:dyDescent="0.3">
      <c r="F58" s="22" t="s">
        <v>125</v>
      </c>
      <c r="G58">
        <v>0</v>
      </c>
      <c r="H58">
        <v>0</v>
      </c>
    </row>
    <row r="100" spans="11:12" x14ac:dyDescent="0.3">
      <c r="K100">
        <v>5</v>
      </c>
      <c r="L100">
        <v>6.7</v>
      </c>
    </row>
    <row r="101" spans="11:12" x14ac:dyDescent="0.3">
      <c r="K101">
        <v>5.5</v>
      </c>
      <c r="L101">
        <v>6.5</v>
      </c>
    </row>
    <row r="102" spans="11:12" x14ac:dyDescent="0.3">
      <c r="K102">
        <v>5.5</v>
      </c>
      <c r="L102">
        <v>6.2</v>
      </c>
    </row>
    <row r="103" spans="11:12" x14ac:dyDescent="0.3">
      <c r="K103">
        <v>6</v>
      </c>
      <c r="L103">
        <v>5.8</v>
      </c>
    </row>
    <row r="104" spans="11:12" x14ac:dyDescent="0.3">
      <c r="K104">
        <v>6</v>
      </c>
      <c r="L104">
        <v>5.0999999999999996</v>
      </c>
    </row>
    <row r="105" spans="11:12" x14ac:dyDescent="0.3">
      <c r="K105">
        <v>6.5</v>
      </c>
      <c r="L105">
        <v>4.8</v>
      </c>
    </row>
    <row r="106" spans="11:12" x14ac:dyDescent="0.3">
      <c r="K106">
        <v>65</v>
      </c>
      <c r="L106">
        <v>34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158E-AFA4-498A-8CB0-2EE7C4D977AD}">
  <dimension ref="A1:AU5"/>
  <sheetViews>
    <sheetView tabSelected="1" workbookViewId="0">
      <selection activeCell="G2" sqref="G2"/>
    </sheetView>
  </sheetViews>
  <sheetFormatPr defaultRowHeight="14.4" x14ac:dyDescent="0.3"/>
  <cols>
    <col min="22" max="22" width="8.88671875" style="12"/>
    <col min="41" max="41" width="8.88671875" style="21"/>
  </cols>
  <sheetData>
    <row r="1" spans="1:47" x14ac:dyDescent="0.3">
      <c r="A1" t="s">
        <v>44</v>
      </c>
      <c r="B1" t="s">
        <v>41</v>
      </c>
      <c r="C1" t="s">
        <v>42</v>
      </c>
      <c r="D1" s="5" t="s">
        <v>45</v>
      </c>
      <c r="E1" s="5" t="s">
        <v>43</v>
      </c>
      <c r="F1" s="5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</row>
    <row r="2" spans="1:47" x14ac:dyDescent="0.3">
      <c r="A2" s="18" t="str">
        <f>Sheet1!F4</f>
        <v>WM1</v>
      </c>
      <c r="B2" s="18">
        <f>Sheet1!G4</f>
        <v>6.56</v>
      </c>
      <c r="C2" s="18">
        <f>Sheet1!H4</f>
        <v>15</v>
      </c>
      <c r="D2" s="5" t="str">
        <f>Sheet1!F12</f>
        <v>DW1</v>
      </c>
      <c r="E2" s="5">
        <f>Sheet1!G12</f>
        <v>2</v>
      </c>
      <c r="F2" s="5">
        <f>Sheet1!H12</f>
        <v>8</v>
      </c>
      <c r="G2" s="7" t="str">
        <f>Sheet1!F20</f>
        <v>DS1</v>
      </c>
      <c r="H2" s="7">
        <f>Sheet1!G20</f>
        <v>0.7</v>
      </c>
      <c r="I2" s="7">
        <f>Sheet1!H20</f>
        <v>6</v>
      </c>
      <c r="J2" s="8" t="str">
        <f>Sheet1!F28</f>
        <v>WFPN1</v>
      </c>
      <c r="K2" s="8">
        <v>0</v>
      </c>
      <c r="L2" s="8">
        <f>Sheet1!H28</f>
        <v>0</v>
      </c>
      <c r="M2" s="13" t="str">
        <f>Sheet1!F36</f>
        <v>KR1</v>
      </c>
      <c r="N2" s="13">
        <f>Sheet1!G36</f>
        <v>5</v>
      </c>
      <c r="O2" s="13">
        <f>Sheet1!H36</f>
        <v>5</v>
      </c>
      <c r="P2" s="14" t="str">
        <f>Sheet1!F44</f>
        <v>TR1</v>
      </c>
      <c r="Q2" s="14">
        <f>Sheet1!G44</f>
        <v>13.3</v>
      </c>
      <c r="R2" s="14">
        <f>Sheet1!H44</f>
        <v>7</v>
      </c>
      <c r="S2" s="15" t="str">
        <f>Sheet1!F52</f>
        <v>BB1</v>
      </c>
      <c r="T2" s="15">
        <f>Sheet1!G52</f>
        <v>4.25</v>
      </c>
      <c r="U2" s="15">
        <f>Sheet1!H52</f>
        <v>9</v>
      </c>
      <c r="W2" s="4" t="str">
        <f>Sheet1!J4</f>
        <v>TP1</v>
      </c>
      <c r="X2" s="4">
        <f>Sheet1!K4</f>
        <v>4.5</v>
      </c>
      <c r="Y2" s="4">
        <f>Sheet1!L4</f>
        <v>5</v>
      </c>
      <c r="Z2" s="6" t="str">
        <f>Sheet1!J12</f>
        <v>HS1</v>
      </c>
      <c r="AA2" s="6">
        <f>Sheet1!K12</f>
        <v>2</v>
      </c>
      <c r="AB2" s="6">
        <f>Sheet1!L12</f>
        <v>6</v>
      </c>
      <c r="AC2" s="9" t="str">
        <f>Sheet1!J20</f>
        <v>DE1</v>
      </c>
      <c r="AD2" s="9">
        <f>Sheet1!K20</f>
        <v>2.8</v>
      </c>
      <c r="AE2" s="9">
        <f>Sheet1!L20</f>
        <v>2</v>
      </c>
      <c r="AF2" s="10" t="str">
        <f>Sheet1!J28</f>
        <v>SH1</v>
      </c>
      <c r="AG2" s="10">
        <f>Sheet1!K28</f>
        <v>4.25</v>
      </c>
      <c r="AH2" s="10">
        <f>Sheet1!L28</f>
        <v>8</v>
      </c>
      <c r="AI2" s="12" t="str">
        <f>Sheet1!J36</f>
        <v>BW1</v>
      </c>
      <c r="AJ2" s="12">
        <f>Sheet1!K36</f>
        <v>2.1</v>
      </c>
      <c r="AK2" s="12">
        <f>Sheet1!L36</f>
        <v>8</v>
      </c>
      <c r="AL2" s="11" t="str">
        <f>Sheet1!J44</f>
        <v>CO1</v>
      </c>
      <c r="AM2" s="11">
        <f>Sheet1!K44</f>
        <v>7.5</v>
      </c>
      <c r="AN2" s="11">
        <f>Sheet1!L44</f>
        <v>5</v>
      </c>
      <c r="AP2" s="2" t="str">
        <f>Sheet1!N4</f>
        <v>DF1</v>
      </c>
      <c r="AQ2" s="2">
        <f>Sheet1!O4</f>
        <v>20.100000000000001</v>
      </c>
      <c r="AR2" s="2">
        <f>Sheet1!P4</f>
        <v>16</v>
      </c>
      <c r="AS2" s="3" t="str">
        <f>Sheet1!N12</f>
        <v>CF1</v>
      </c>
      <c r="AT2" s="3">
        <f>Sheet1!O12</f>
        <v>3.9</v>
      </c>
      <c r="AU2" s="3">
        <f>Sheet1!P12</f>
        <v>8</v>
      </c>
    </row>
    <row r="3" spans="1:47" x14ac:dyDescent="0.3">
      <c r="A3" s="18" t="str">
        <f>Sheet1!F5</f>
        <v>WM2</v>
      </c>
      <c r="B3" s="18">
        <f>Sheet1!G5</f>
        <v>12</v>
      </c>
      <c r="C3" s="18">
        <f>Sheet1!H5</f>
        <v>10</v>
      </c>
      <c r="D3" s="5" t="str">
        <f>Sheet1!F13</f>
        <v>DW2</v>
      </c>
      <c r="E3" s="5">
        <f>Sheet1!G13</f>
        <v>5</v>
      </c>
      <c r="F3" s="5">
        <f>Sheet1!H13</f>
        <v>6</v>
      </c>
      <c r="G3" s="7" t="str">
        <f>Sheet1!F21</f>
        <v>DS2</v>
      </c>
      <c r="H3" s="7">
        <f>Sheet1!G21</f>
        <v>1.5</v>
      </c>
      <c r="I3" s="7">
        <f>Sheet1!H21</f>
        <v>5</v>
      </c>
      <c r="J3" s="8" t="str">
        <f>Sheet1!F29</f>
        <v>WFPN2</v>
      </c>
      <c r="K3" s="8">
        <f>Sheet1!G29</f>
        <v>0</v>
      </c>
      <c r="L3" s="8">
        <f>Sheet1!H29</f>
        <v>0</v>
      </c>
      <c r="M3" s="13" t="str">
        <f>Sheet1!F37</f>
        <v>KR2</v>
      </c>
      <c r="N3" s="13">
        <f>Sheet1!G37</f>
        <v>4</v>
      </c>
      <c r="O3" s="13">
        <f>Sheet1!H37</f>
        <v>8</v>
      </c>
      <c r="P3" s="14" t="str">
        <f>Sheet1!F45</f>
        <v>TR2</v>
      </c>
      <c r="Q3" s="14">
        <f>Sheet1!G45</f>
        <v>12</v>
      </c>
      <c r="R3" s="14">
        <f>Sheet1!H45</f>
        <v>11</v>
      </c>
      <c r="S3" s="15" t="str">
        <f>Sheet1!F53</f>
        <v>BB2</v>
      </c>
      <c r="T3" s="15">
        <f>Sheet1!G53</f>
        <v>12.5</v>
      </c>
      <c r="U3" s="15">
        <f>Sheet1!H53</f>
        <v>6</v>
      </c>
      <c r="W3" s="4" t="str">
        <f>Sheet1!J5</f>
        <v>TP2</v>
      </c>
      <c r="X3" s="4">
        <f>Sheet1!K5</f>
        <v>3.95</v>
      </c>
      <c r="Y3" s="4">
        <f>Sheet1!L5</f>
        <v>9</v>
      </c>
      <c r="Z3" s="6" t="str">
        <f>Sheet1!J13</f>
        <v>HS2</v>
      </c>
      <c r="AA3" s="6">
        <f>Sheet1!K13</f>
        <v>0.59</v>
      </c>
      <c r="AB3" s="6">
        <f>Sheet1!L13</f>
        <v>5</v>
      </c>
      <c r="AC3" s="9" t="str">
        <f>Sheet1!J21</f>
        <v>DE2</v>
      </c>
      <c r="AD3" s="9">
        <f>Sheet1!K21</f>
        <v>6.6</v>
      </c>
      <c r="AE3" s="9">
        <f>Sheet1!L21</f>
        <v>3</v>
      </c>
      <c r="AF3" s="10" t="str">
        <f>Sheet1!J29</f>
        <v>SH2</v>
      </c>
      <c r="AG3" s="10">
        <f>Sheet1!K29</f>
        <v>11.7</v>
      </c>
      <c r="AH3" s="10">
        <f>Sheet1!L29</f>
        <v>6</v>
      </c>
      <c r="AI3" s="12" t="str">
        <f>Sheet1!J37</f>
        <v>BW2</v>
      </c>
      <c r="AJ3" s="12">
        <f>Sheet1!K37</f>
        <v>1.9</v>
      </c>
      <c r="AK3" s="12">
        <f>Sheet1!L37</f>
        <v>6</v>
      </c>
      <c r="AL3" s="11" t="str">
        <f>Sheet1!J45</f>
        <v>CO2</v>
      </c>
      <c r="AM3" s="11">
        <f>Sheet1!K45</f>
        <v>5.5</v>
      </c>
      <c r="AN3" s="11">
        <f>Sheet1!L45</f>
        <v>10</v>
      </c>
      <c r="AP3" s="2" t="str">
        <f>Sheet1!N5</f>
        <v>DF2</v>
      </c>
      <c r="AQ3" s="2">
        <f>Sheet1!O5</f>
        <v>15</v>
      </c>
      <c r="AR3" s="2">
        <f>Sheet1!P5</f>
        <v>18</v>
      </c>
      <c r="AS3" s="3" t="str">
        <f>Sheet1!N13</f>
        <v>CF2</v>
      </c>
      <c r="AT3" s="3">
        <f>Sheet1!O13</f>
        <v>5</v>
      </c>
      <c r="AU3" s="3">
        <f>Sheet1!P13</f>
        <v>6</v>
      </c>
    </row>
    <row r="4" spans="1:47" x14ac:dyDescent="0.3">
      <c r="A4" s="18" t="str">
        <f>Sheet1!F6</f>
        <v>WM3</v>
      </c>
      <c r="B4" s="18">
        <f>Sheet1!G6</f>
        <v>11.8</v>
      </c>
      <c r="C4" s="18">
        <f>Sheet1!H6</f>
        <v>9</v>
      </c>
      <c r="D4" s="5" t="str">
        <f>Sheet1!F14</f>
        <v>DW3</v>
      </c>
      <c r="E4" s="5">
        <f>Sheet1!G14</f>
        <v>5.5</v>
      </c>
      <c r="F4" s="5">
        <f>Sheet1!H14</f>
        <v>5</v>
      </c>
      <c r="G4" s="7" t="str">
        <f>Sheet1!F22</f>
        <v>DS3</v>
      </c>
      <c r="H4" s="7">
        <f>Sheet1!G22</f>
        <v>2.5</v>
      </c>
      <c r="I4" s="7">
        <f>Sheet1!H22</f>
        <v>2</v>
      </c>
      <c r="J4" s="8" t="str">
        <f>Sheet1!F30</f>
        <v>WFPN3</v>
      </c>
      <c r="K4" s="8">
        <f>Sheet1!G30</f>
        <v>0</v>
      </c>
      <c r="L4" s="8">
        <f>Sheet1!H30</f>
        <v>0</v>
      </c>
      <c r="M4" s="13" t="str">
        <f>Sheet1!F38</f>
        <v>KR3</v>
      </c>
      <c r="N4" s="13">
        <f>Sheet1!G38</f>
        <v>3.9</v>
      </c>
      <c r="O4" s="13">
        <f>Sheet1!H38</f>
        <v>6</v>
      </c>
      <c r="P4" s="14" t="str">
        <f>Sheet1!F46</f>
        <v>TR3</v>
      </c>
      <c r="Q4" s="14">
        <f>Sheet1!G46</f>
        <v>14</v>
      </c>
      <c r="R4" s="14">
        <f>Sheet1!H46</f>
        <v>9</v>
      </c>
      <c r="S4" s="15" t="str">
        <f>Sheet1!F54</f>
        <v>BB3</v>
      </c>
      <c r="T4" s="15">
        <f>Sheet1!G54</f>
        <v>15</v>
      </c>
      <c r="U4" s="15">
        <f>Sheet1!H54</f>
        <v>5</v>
      </c>
      <c r="W4" s="4" t="str">
        <f>Sheet1!J6</f>
        <v>TP3</v>
      </c>
      <c r="X4" s="4">
        <f>Sheet1!K6</f>
        <v>0.95</v>
      </c>
      <c r="Y4" s="4">
        <f>Sheet1!L6</f>
        <v>7</v>
      </c>
      <c r="Z4" s="6" t="str">
        <f>Sheet1!J14</f>
        <v>HS3</v>
      </c>
      <c r="AA4" s="6">
        <f>Sheet1!K14</f>
        <v>2.5</v>
      </c>
      <c r="AB4" s="6">
        <f>Sheet1!L14</f>
        <v>3</v>
      </c>
      <c r="AC4" s="9" t="str">
        <f>Sheet1!J22</f>
        <v>DE3</v>
      </c>
      <c r="AD4" s="9">
        <f>Sheet1!K22</f>
        <v>2.75</v>
      </c>
      <c r="AE4" s="9">
        <f>Sheet1!L22</f>
        <v>2</v>
      </c>
      <c r="AF4" s="10" t="str">
        <f>Sheet1!J30</f>
        <v>SH3</v>
      </c>
      <c r="AG4" s="10">
        <f>Sheet1!K30</f>
        <v>15</v>
      </c>
      <c r="AH4" s="10">
        <f>Sheet1!L30</f>
        <v>7</v>
      </c>
      <c r="AI4" s="12" t="str">
        <f>Sheet1!J38</f>
        <v>BW3</v>
      </c>
      <c r="AJ4" s="12">
        <f>Sheet1!K38</f>
        <v>2.4</v>
      </c>
      <c r="AK4" s="12">
        <f>Sheet1!L38</f>
        <v>4</v>
      </c>
      <c r="AL4" s="11" t="str">
        <f>Sheet1!J46</f>
        <v>CO3</v>
      </c>
      <c r="AM4" s="11">
        <f>Sheet1!K46</f>
        <v>0.95</v>
      </c>
      <c r="AN4" s="11">
        <f>Sheet1!L46</f>
        <v>8</v>
      </c>
      <c r="AP4" s="2" t="str">
        <f>Sheet1!N6</f>
        <v>DF3</v>
      </c>
      <c r="AQ4" s="2">
        <f>Sheet1!O6</f>
        <v>14</v>
      </c>
      <c r="AR4" s="2">
        <f>Sheet1!P6</f>
        <v>17</v>
      </c>
      <c r="AS4" s="3" t="str">
        <f>Sheet1!N14</f>
        <v>CF3</v>
      </c>
      <c r="AT4" s="3">
        <f>Sheet1!O14</f>
        <v>4.9000000000000004</v>
      </c>
      <c r="AU4" s="3">
        <f>Sheet1!P14</f>
        <v>9</v>
      </c>
    </row>
    <row r="5" spans="1:47" x14ac:dyDescent="0.3">
      <c r="A5" s="18" t="str">
        <f>Sheet1!F7</f>
        <v>WM4</v>
      </c>
      <c r="B5" s="18">
        <f>Sheet1!G7</f>
        <v>12</v>
      </c>
      <c r="C5" s="18">
        <f>Sheet1!H7</f>
        <v>8</v>
      </c>
      <c r="D5" s="5" t="str">
        <f>Sheet1!F15</f>
        <v>DW4</v>
      </c>
      <c r="E5" s="5">
        <f>Sheet1!G15</f>
        <v>7.5</v>
      </c>
      <c r="F5" s="5">
        <f>Sheet1!H15</f>
        <v>2</v>
      </c>
      <c r="G5" s="7" t="str">
        <f>Sheet1!F23</f>
        <v>DS4</v>
      </c>
      <c r="H5" s="7">
        <f>Sheet1!G23</f>
        <v>1.5</v>
      </c>
      <c r="I5" s="7">
        <f>Sheet1!H23</f>
        <v>3</v>
      </c>
      <c r="J5" s="8" t="str">
        <f>Sheet1!F31</f>
        <v>WFPN4</v>
      </c>
      <c r="K5" s="8">
        <f>Sheet1!G31</f>
        <v>0</v>
      </c>
      <c r="L5" s="8">
        <f>Sheet1!H31</f>
        <v>0</v>
      </c>
      <c r="M5" s="13" t="str">
        <f>Sheet1!F39</f>
        <v>KR4</v>
      </c>
      <c r="N5" s="13">
        <f>Sheet1!G39</f>
        <v>2.5</v>
      </c>
      <c r="O5" s="13">
        <f>Sheet1!H39</f>
        <v>9</v>
      </c>
      <c r="P5" s="14" t="str">
        <f>Sheet1!F47</f>
        <v>TR4</v>
      </c>
      <c r="Q5" s="14">
        <f>Sheet1!G47</f>
        <v>10.6</v>
      </c>
      <c r="R5" s="14">
        <f>Sheet1!H47</f>
        <v>10</v>
      </c>
      <c r="S5" s="15" t="str">
        <f>Sheet1!F55</f>
        <v>BB4</v>
      </c>
      <c r="T5" s="15">
        <f>Sheet1!G55</f>
        <v>8</v>
      </c>
      <c r="U5" s="15">
        <f>Sheet1!H55</f>
        <v>8</v>
      </c>
      <c r="W5" s="4" t="str">
        <f>Sheet1!J7</f>
        <v>TP4</v>
      </c>
      <c r="X5" s="4">
        <f>Sheet1!K7</f>
        <v>6.5</v>
      </c>
      <c r="Y5" s="4">
        <f>Sheet1!L7</f>
        <v>8</v>
      </c>
      <c r="Z5" s="6" t="str">
        <f>Sheet1!J15</f>
        <v>HS4</v>
      </c>
      <c r="AA5" s="6">
        <f>Sheet1!K15</f>
        <v>3</v>
      </c>
      <c r="AB5" s="6">
        <f>Sheet1!L15</f>
        <v>7</v>
      </c>
      <c r="AC5" s="9" t="str">
        <f>Sheet1!J23</f>
        <v>DE4</v>
      </c>
      <c r="AD5" s="9">
        <f>Sheet1!K23</f>
        <v>1.95</v>
      </c>
      <c r="AE5" s="9">
        <f>Sheet1!L23</f>
        <v>4</v>
      </c>
      <c r="AF5" s="10" t="str">
        <f>Sheet1!J31</f>
        <v>SH4</v>
      </c>
      <c r="AG5" s="10">
        <f>Sheet1!K31</f>
        <v>13.6</v>
      </c>
      <c r="AH5" s="10">
        <f>Sheet1!L31</f>
        <v>4</v>
      </c>
      <c r="AI5" s="12" t="str">
        <f>Sheet1!J39</f>
        <v>BW4</v>
      </c>
      <c r="AJ5" s="12">
        <f>Sheet1!K39</f>
        <v>2</v>
      </c>
      <c r="AK5" s="12">
        <f>Sheet1!L39</f>
        <v>7</v>
      </c>
      <c r="AL5" s="11" t="str">
        <f>Sheet1!J47</f>
        <v>CO4</v>
      </c>
      <c r="AM5" s="11">
        <f>Sheet1!K47</f>
        <v>6.2</v>
      </c>
      <c r="AN5" s="11">
        <f>Sheet1!L47</f>
        <v>6</v>
      </c>
      <c r="AP5" s="2" t="str">
        <f>Sheet1!N7</f>
        <v>DF4</v>
      </c>
      <c r="AQ5" s="2">
        <f>Sheet1!O7</f>
        <v>19</v>
      </c>
      <c r="AR5" s="2">
        <f>Sheet1!P7</f>
        <v>21</v>
      </c>
      <c r="AS5" s="3" t="str">
        <f>Sheet1!N15</f>
        <v>CF4</v>
      </c>
      <c r="AT5" s="3">
        <f>Sheet1!O15</f>
        <v>6</v>
      </c>
      <c r="AU5" s="3">
        <f>Sheet1!P15</f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Fraulo, Alfie</dc:creator>
  <cp:lastModifiedBy>Fraulo, Alfie</cp:lastModifiedBy>
  <dcterms:created xsi:type="dcterms:W3CDTF">2026-02-23T13:06:04Z</dcterms:created>
  <dcterms:modified xsi:type="dcterms:W3CDTF">2026-03-10T20:53:49Z</dcterms:modified>
</cp:coreProperties>
</file>